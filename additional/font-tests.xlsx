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2435" windowHeight="11325"/>
  </bookViews>
  <sheets>
    <sheet name="Dialog box engine adjustments" sheetId="4" r:id="rId1"/>
    <sheet name="Sheet1" sheetId="1" r:id="rId2"/>
    <sheet name="Sheet2" sheetId="2" r:id="rId3"/>
    <sheet name="Sheet3" sheetId="3" r:id="rId4"/>
  </sheets>
  <calcPr calcId="144525"/>
</workbook>
</file>

<file path=xl/calcChain.xml><?xml version="1.0" encoding="utf-8"?>
<calcChain xmlns="http://schemas.openxmlformats.org/spreadsheetml/2006/main">
  <c r="I3" i="2" l="1"/>
  <c r="I4" i="2"/>
  <c r="I5" i="2"/>
  <c r="I2" i="2"/>
  <c r="H3" i="2"/>
  <c r="H4" i="2"/>
  <c r="H5" i="2"/>
  <c r="H2" i="2"/>
  <c r="F5" i="2"/>
  <c r="E5" i="2"/>
  <c r="C5" i="2"/>
  <c r="K5" i="2" s="1"/>
  <c r="L5" i="2" s="1"/>
  <c r="E4" i="2"/>
  <c r="B26" i="3"/>
  <c r="B34" i="3"/>
  <c r="B35" i="3"/>
  <c r="B36" i="3"/>
  <c r="B37" i="3"/>
  <c r="B38" i="3"/>
  <c r="B39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7" i="3"/>
  <c r="B28" i="3"/>
  <c r="B29" i="3"/>
  <c r="B30" i="3"/>
  <c r="B31" i="3"/>
  <c r="B32" i="3"/>
  <c r="B33" i="3"/>
  <c r="B2" i="3"/>
  <c r="F4" i="2"/>
  <c r="C4" i="2"/>
  <c r="K4" i="2" s="1"/>
  <c r="L4" i="2" s="1"/>
  <c r="M5" i="2" l="1"/>
  <c r="M4" i="2"/>
  <c r="N4" i="2" s="1"/>
  <c r="F3" i="2"/>
  <c r="E3" i="2"/>
  <c r="C3" i="2"/>
  <c r="K3" i="2" s="1"/>
  <c r="L3" i="2" s="1"/>
  <c r="M2" i="2"/>
  <c r="E2" i="2"/>
  <c r="C2" i="2"/>
  <c r="K2" i="2" s="1"/>
  <c r="L2" i="2" s="1"/>
  <c r="F2" i="2"/>
  <c r="F9" i="1"/>
  <c r="G9" i="1" s="1"/>
  <c r="F8" i="1"/>
  <c r="G8" i="1"/>
  <c r="F7" i="1"/>
  <c r="G7" i="1" s="1"/>
  <c r="G6" i="1"/>
  <c r="G5" i="1"/>
  <c r="G4" i="1"/>
  <c r="G2" i="1"/>
  <c r="G3" i="1"/>
  <c r="G1" i="1"/>
  <c r="F3" i="1"/>
  <c r="D2" i="1"/>
  <c r="D3" i="1"/>
  <c r="D4" i="1"/>
  <c r="D5" i="1"/>
  <c r="D6" i="1"/>
  <c r="D7" i="1"/>
  <c r="D8" i="1"/>
  <c r="D9" i="1"/>
  <c r="D10" i="1"/>
  <c r="D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1" i="1"/>
  <c r="M3" i="2" l="1"/>
  <c r="N3" i="2" s="1"/>
  <c r="N2" i="2"/>
</calcChain>
</file>

<file path=xl/sharedStrings.xml><?xml version="1.0" encoding="utf-8"?>
<sst xmlns="http://schemas.openxmlformats.org/spreadsheetml/2006/main" count="112" uniqueCount="90">
  <si>
    <t>A98AE</t>
  </si>
  <si>
    <t>0C</t>
  </si>
  <si>
    <t>E4</t>
  </si>
  <si>
    <t>hex</t>
  </si>
  <si>
    <t>98BE</t>
  </si>
  <si>
    <t>A98C1</t>
  </si>
  <si>
    <t>A98D4</t>
  </si>
  <si>
    <t>A98E7</t>
  </si>
  <si>
    <t>A98FA</t>
  </si>
  <si>
    <t>A990D</t>
  </si>
  <si>
    <t>A9920</t>
  </si>
  <si>
    <t>A9933</t>
  </si>
  <si>
    <t>A9946</t>
  </si>
  <si>
    <t>A9959</t>
  </si>
  <si>
    <t>A996C</t>
  </si>
  <si>
    <t>A997F</t>
  </si>
  <si>
    <t>A9992</t>
  </si>
  <si>
    <t>AB06E</t>
  </si>
  <si>
    <t>AB081</t>
  </si>
  <si>
    <t>AB094</t>
  </si>
  <si>
    <t>AB0A7</t>
  </si>
  <si>
    <t>AB0BA</t>
  </si>
  <si>
    <t>AB0CD</t>
  </si>
  <si>
    <t>AB0E0</t>
  </si>
  <si>
    <t>AB0F3</t>
  </si>
  <si>
    <t>AB106</t>
  </si>
  <si>
    <t>AB119</t>
  </si>
  <si>
    <t>AB12C</t>
  </si>
  <si>
    <t>AB13F</t>
  </si>
  <si>
    <t>AC82E</t>
  </si>
  <si>
    <t>AC841</t>
  </si>
  <si>
    <t>AC854</t>
  </si>
  <si>
    <t>AC867</t>
  </si>
  <si>
    <t>AC87A</t>
  </si>
  <si>
    <t>AC88D</t>
  </si>
  <si>
    <t>AC8A0</t>
  </si>
  <si>
    <t>AC8B3</t>
  </si>
  <si>
    <t>AC8C6</t>
  </si>
  <si>
    <t>AC8D9</t>
  </si>
  <si>
    <t>AC8EC</t>
  </si>
  <si>
    <t>AC8FF</t>
  </si>
  <si>
    <t>AC912</t>
  </si>
  <si>
    <t>A98AE+17C0</t>
  </si>
  <si>
    <t>AB152</t>
  </si>
  <si>
    <t>A98AE+2*17C0</t>
  </si>
  <si>
    <t>0008:00006AD7</t>
  </si>
  <si>
    <t>DOSBOX-X</t>
  </si>
  <si>
    <t>add  dword [26EC],0013</t>
  </si>
  <si>
    <t>0008:00006ADD</t>
  </si>
  <si>
    <t>cmp  dword [26EC],000AC912</t>
  </si>
  <si>
    <t>0008:00006B75</t>
  </si>
  <si>
    <t>cmp  bp,000C</t>
  </si>
  <si>
    <t>0008:00006B7F</t>
  </si>
  <si>
    <t>0008:00006B88</t>
  </si>
  <si>
    <t>add  dword [26EC],000017C0</t>
  </si>
  <si>
    <t>sub  dword [26EC],000000E4</t>
  </si>
  <si>
    <t>ADFEE</t>
  </si>
  <si>
    <t>ADFFE</t>
  </si>
  <si>
    <t>DEFAULT VALUES</t>
  </si>
  <si>
    <t>17C0</t>
  </si>
  <si>
    <t>sm 8:6b8d c0 17</t>
  </si>
  <si>
    <t>sm 8:6ae2 12 c9 0a 00</t>
  </si>
  <si>
    <t>sm 8:6adc 13</t>
  </si>
  <si>
    <t>12 GLYPGHS/ROW</t>
  </si>
  <si>
    <t>C0</t>
  </si>
  <si>
    <t>AC8EE</t>
  </si>
  <si>
    <t>14 GLYPGHS/ROW</t>
  </si>
  <si>
    <t>0E</t>
  </si>
  <si>
    <t>E0</t>
  </si>
  <si>
    <t>17A0</t>
  </si>
  <si>
    <t>ac90e</t>
  </si>
  <si>
    <t>sm 8:6b84 E4</t>
  </si>
  <si>
    <t>v0</t>
  </si>
  <si>
    <t>v1</t>
  </si>
  <si>
    <t>v2</t>
  </si>
  <si>
    <t>v3</t>
  </si>
  <si>
    <t>with COLS=14 in insert_english.py</t>
  </si>
  <si>
    <t>E4 = 13 * 0C</t>
  </si>
  <si>
    <t>0008:00006B4B</t>
  </si>
  <si>
    <t>mov  dword [26EC],000A98AE</t>
  </si>
  <si>
    <t>Row 1</t>
  </si>
  <si>
    <t>Row 2</t>
  </si>
  <si>
    <t>Row 3</t>
  </si>
  <si>
    <t>AC912 = AC82E + E4</t>
  </si>
  <si>
    <t>AC82E = AB06E + 17C0</t>
  </si>
  <si>
    <t>AB06E = A98AE + 17C0</t>
  </si>
  <si>
    <t>End</t>
  </si>
  <si>
    <t>glyph width + gap</t>
  </si>
  <si>
    <t>end of box</t>
  </si>
  <si>
    <t>glyphs/row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</si>
</sst>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A22" sqref="A22:D25"/>
    </sheetView>
  </sheetViews>
  <sheetFormatPr defaultRowHeight="15" x14ac:dyDescent="0.25"/>
  <cols>
    <col min="1" max="1" width="18.5703125" customWidth="1"/>
    <col min="2" max="2" width="33.85546875" customWidth="1"/>
    <col min="3" max="3" width="24.28515625" customWidth="1"/>
    <col min="4" max="4" width="16" bestFit="1" customWidth="1"/>
    <col min="5" max="5" width="22.140625" customWidth="1"/>
    <col min="6" max="6" width="29.140625" customWidth="1"/>
    <col min="7" max="7" width="31.42578125" bestFit="1" customWidth="1"/>
  </cols>
  <sheetData>
    <row r="1" spans="1:10" x14ac:dyDescent="0.25">
      <c r="A1" t="s">
        <v>46</v>
      </c>
      <c r="D1" s="1" t="s">
        <v>58</v>
      </c>
      <c r="E1" s="1" t="s">
        <v>63</v>
      </c>
      <c r="F1" s="1" t="s">
        <v>66</v>
      </c>
      <c r="G1" s="1" t="s">
        <v>66</v>
      </c>
    </row>
    <row r="2" spans="1:10" x14ac:dyDescent="0.25">
      <c r="G2" t="s">
        <v>76</v>
      </c>
    </row>
    <row r="3" spans="1:10" x14ac:dyDescent="0.25">
      <c r="D3" t="s">
        <v>72</v>
      </c>
      <c r="E3" t="s">
        <v>73</v>
      </c>
      <c r="F3" t="s">
        <v>74</v>
      </c>
      <c r="G3" t="s">
        <v>75</v>
      </c>
    </row>
    <row r="5" spans="1:10" x14ac:dyDescent="0.25">
      <c r="A5" t="s">
        <v>45</v>
      </c>
      <c r="B5" t="s">
        <v>47</v>
      </c>
      <c r="C5" t="s">
        <v>87</v>
      </c>
      <c r="D5">
        <v>13</v>
      </c>
      <c r="E5">
        <v>10</v>
      </c>
      <c r="F5">
        <v>10</v>
      </c>
      <c r="G5">
        <v>10</v>
      </c>
      <c r="J5" t="s">
        <v>62</v>
      </c>
    </row>
    <row r="6" spans="1:10" x14ac:dyDescent="0.25">
      <c r="A6" t="s">
        <v>48</v>
      </c>
      <c r="B6" t="s">
        <v>49</v>
      </c>
      <c r="C6" t="s">
        <v>88</v>
      </c>
      <c r="D6" t="s">
        <v>41</v>
      </c>
      <c r="E6" t="s">
        <v>65</v>
      </c>
      <c r="F6" t="s">
        <v>70</v>
      </c>
      <c r="G6" t="s">
        <v>70</v>
      </c>
      <c r="J6" t="s">
        <v>61</v>
      </c>
    </row>
    <row r="8" spans="1:10" x14ac:dyDescent="0.25">
      <c r="A8" t="s">
        <v>50</v>
      </c>
      <c r="B8" t="s">
        <v>51</v>
      </c>
      <c r="C8" t="s">
        <v>89</v>
      </c>
      <c r="D8" t="s">
        <v>1</v>
      </c>
      <c r="E8" t="s">
        <v>1</v>
      </c>
      <c r="F8" t="s">
        <v>67</v>
      </c>
      <c r="G8" t="s">
        <v>67</v>
      </c>
    </row>
    <row r="10" spans="1:10" x14ac:dyDescent="0.25">
      <c r="A10" t="s">
        <v>52</v>
      </c>
      <c r="B10" t="s">
        <v>55</v>
      </c>
      <c r="D10" t="s">
        <v>2</v>
      </c>
      <c r="E10" t="s">
        <v>64</v>
      </c>
      <c r="F10" t="s">
        <v>68</v>
      </c>
      <c r="G10" t="s">
        <v>68</v>
      </c>
      <c r="J10" t="s">
        <v>71</v>
      </c>
    </row>
    <row r="11" spans="1:10" x14ac:dyDescent="0.25">
      <c r="A11" t="s">
        <v>53</v>
      </c>
      <c r="B11" t="s">
        <v>54</v>
      </c>
      <c r="D11" t="s">
        <v>59</v>
      </c>
      <c r="E11" t="s">
        <v>59</v>
      </c>
      <c r="F11" t="s">
        <v>69</v>
      </c>
      <c r="G11" t="s">
        <v>59</v>
      </c>
      <c r="J11" t="s">
        <v>60</v>
      </c>
    </row>
    <row r="14" spans="1:10" x14ac:dyDescent="0.25">
      <c r="A14" t="s">
        <v>78</v>
      </c>
      <c r="B14" t="s">
        <v>79</v>
      </c>
      <c r="D14" t="s">
        <v>0</v>
      </c>
    </row>
    <row r="21" spans="1:4" ht="15.75" thickBot="1" x14ac:dyDescent="0.3"/>
    <row r="22" spans="1:4" x14ac:dyDescent="0.25">
      <c r="A22" s="2" t="s">
        <v>80</v>
      </c>
      <c r="B22" s="3" t="s">
        <v>0</v>
      </c>
      <c r="C22" s="3"/>
      <c r="D22" s="4"/>
    </row>
    <row r="23" spans="1:4" x14ac:dyDescent="0.25">
      <c r="A23" s="5" t="s">
        <v>81</v>
      </c>
      <c r="B23" s="6" t="s">
        <v>17</v>
      </c>
      <c r="C23" s="6" t="s">
        <v>85</v>
      </c>
      <c r="D23" s="7"/>
    </row>
    <row r="24" spans="1:4" x14ac:dyDescent="0.25">
      <c r="A24" s="5" t="s">
        <v>82</v>
      </c>
      <c r="B24" s="6" t="s">
        <v>29</v>
      </c>
      <c r="C24" s="6" t="s">
        <v>84</v>
      </c>
      <c r="D24" s="7"/>
    </row>
    <row r="25" spans="1:4" ht="15.75" thickBot="1" x14ac:dyDescent="0.3">
      <c r="A25" s="8" t="s">
        <v>86</v>
      </c>
      <c r="B25" s="9" t="s">
        <v>41</v>
      </c>
      <c r="C25" s="9" t="s">
        <v>83</v>
      </c>
      <c r="D25" s="10" t="s"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J1" sqref="J1"/>
    </sheetView>
  </sheetViews>
  <sheetFormatPr defaultRowHeight="15" x14ac:dyDescent="0.25"/>
  <sheetData>
    <row r="1" spans="1:10" x14ac:dyDescent="0.25">
      <c r="A1">
        <v>65</v>
      </c>
      <c r="B1" t="str">
        <f>CHAR(A1)</f>
        <v>A</v>
      </c>
      <c r="C1">
        <v>237</v>
      </c>
      <c r="D1" t="str">
        <f>DEC2HEX(C1)</f>
        <v>ED</v>
      </c>
      <c r="F1">
        <v>12</v>
      </c>
      <c r="G1" t="str">
        <f>DEC2HEX(F1)</f>
        <v>C</v>
      </c>
      <c r="H1">
        <v>13</v>
      </c>
      <c r="I1" t="s">
        <v>1</v>
      </c>
      <c r="J1" t="s">
        <v>2</v>
      </c>
    </row>
    <row r="2" spans="1:10" x14ac:dyDescent="0.25">
      <c r="A2">
        <v>66</v>
      </c>
      <c r="B2" t="str">
        <f t="shared" ref="B2:B30" si="0">CHAR(A2)</f>
        <v>B</v>
      </c>
      <c r="C2">
        <v>239</v>
      </c>
      <c r="D2" t="str">
        <f t="shared" ref="D2:D10" si="1">DEC2HEX(C2)</f>
        <v>EF</v>
      </c>
      <c r="F2">
        <v>19</v>
      </c>
      <c r="G2" t="str">
        <f t="shared" ref="G2:G9" si="2">DEC2HEX(F2)</f>
        <v>13</v>
      </c>
    </row>
    <row r="3" spans="1:10" x14ac:dyDescent="0.25">
      <c r="A3">
        <v>67</v>
      </c>
      <c r="B3" t="str">
        <f t="shared" si="0"/>
        <v>C</v>
      </c>
      <c r="C3">
        <v>241</v>
      </c>
      <c r="D3" t="str">
        <f t="shared" si="1"/>
        <v>F1</v>
      </c>
      <c r="F3">
        <f>F1*F2</f>
        <v>228</v>
      </c>
      <c r="G3" t="str">
        <f t="shared" si="2"/>
        <v>E4</v>
      </c>
    </row>
    <row r="4" spans="1:10" x14ac:dyDescent="0.25">
      <c r="A4">
        <v>68</v>
      </c>
      <c r="B4" t="str">
        <f t="shared" si="0"/>
        <v>D</v>
      </c>
      <c r="C4">
        <v>245</v>
      </c>
      <c r="D4" t="str">
        <f t="shared" si="1"/>
        <v>F5</v>
      </c>
      <c r="F4">
        <v>694446</v>
      </c>
      <c r="G4" t="str">
        <f t="shared" si="2"/>
        <v>A98AE</v>
      </c>
    </row>
    <row r="5" spans="1:10" x14ac:dyDescent="0.25">
      <c r="A5">
        <v>69</v>
      </c>
      <c r="B5" t="str">
        <f t="shared" si="0"/>
        <v>E</v>
      </c>
      <c r="C5">
        <v>246</v>
      </c>
      <c r="D5" t="str">
        <f t="shared" si="1"/>
        <v>F6</v>
      </c>
      <c r="F5">
        <v>228</v>
      </c>
      <c r="G5" t="str">
        <f t="shared" si="2"/>
        <v>E4</v>
      </c>
    </row>
    <row r="6" spans="1:10" x14ac:dyDescent="0.25">
      <c r="A6">
        <v>70</v>
      </c>
      <c r="B6" t="str">
        <f t="shared" si="0"/>
        <v>F</v>
      </c>
      <c r="C6">
        <v>247</v>
      </c>
      <c r="D6" t="str">
        <f t="shared" si="1"/>
        <v>F7</v>
      </c>
      <c r="F6">
        <v>6080</v>
      </c>
      <c r="G6" t="str">
        <f t="shared" si="2"/>
        <v>17C0</v>
      </c>
    </row>
    <row r="7" spans="1:10" x14ac:dyDescent="0.25">
      <c r="A7">
        <v>71</v>
      </c>
      <c r="B7" t="str">
        <f t="shared" si="0"/>
        <v>G</v>
      </c>
      <c r="C7">
        <v>251</v>
      </c>
      <c r="D7" t="str">
        <f t="shared" si="1"/>
        <v>FB</v>
      </c>
      <c r="F7">
        <f>F4+F6</f>
        <v>700526</v>
      </c>
      <c r="G7" t="str">
        <f t="shared" si="2"/>
        <v>AB06E</v>
      </c>
    </row>
    <row r="8" spans="1:10" x14ac:dyDescent="0.25">
      <c r="A8">
        <v>72</v>
      </c>
      <c r="B8" t="str">
        <f t="shared" si="0"/>
        <v>H</v>
      </c>
      <c r="C8">
        <v>253</v>
      </c>
      <c r="D8" t="str">
        <f t="shared" si="1"/>
        <v>FD</v>
      </c>
      <c r="F8">
        <f>F7+F6</f>
        <v>706606</v>
      </c>
      <c r="G8" t="str">
        <f t="shared" si="2"/>
        <v>AC82E</v>
      </c>
    </row>
    <row r="9" spans="1:10" x14ac:dyDescent="0.25">
      <c r="A9">
        <v>73</v>
      </c>
      <c r="B9" t="str">
        <f t="shared" si="0"/>
        <v>I</v>
      </c>
      <c r="C9">
        <v>254</v>
      </c>
      <c r="D9" t="str">
        <f t="shared" si="1"/>
        <v>FE</v>
      </c>
      <c r="F9">
        <f>F8+F6-F5</f>
        <v>712458</v>
      </c>
      <c r="G9" t="str">
        <f t="shared" si="2"/>
        <v>ADF0A</v>
      </c>
    </row>
    <row r="10" spans="1:10" x14ac:dyDescent="0.25">
      <c r="A10">
        <v>74</v>
      </c>
      <c r="B10" t="str">
        <f t="shared" si="0"/>
        <v>J</v>
      </c>
      <c r="C10">
        <v>255</v>
      </c>
      <c r="D10" t="str">
        <f t="shared" si="1"/>
        <v>FF</v>
      </c>
    </row>
    <row r="11" spans="1:10" x14ac:dyDescent="0.25">
      <c r="A11">
        <v>75</v>
      </c>
      <c r="B11" t="str">
        <f t="shared" si="0"/>
        <v>K</v>
      </c>
    </row>
    <row r="12" spans="1:10" x14ac:dyDescent="0.25">
      <c r="A12">
        <v>76</v>
      </c>
      <c r="B12" t="str">
        <f t="shared" si="0"/>
        <v>L</v>
      </c>
    </row>
    <row r="13" spans="1:10" x14ac:dyDescent="0.25">
      <c r="A13">
        <v>77</v>
      </c>
      <c r="B13" t="str">
        <f t="shared" si="0"/>
        <v>M</v>
      </c>
    </row>
    <row r="14" spans="1:10" x14ac:dyDescent="0.25">
      <c r="A14">
        <v>78</v>
      </c>
      <c r="B14" t="str">
        <f t="shared" si="0"/>
        <v>N</v>
      </c>
    </row>
    <row r="15" spans="1:10" x14ac:dyDescent="0.25">
      <c r="A15">
        <v>79</v>
      </c>
      <c r="B15" t="str">
        <f t="shared" si="0"/>
        <v>O</v>
      </c>
    </row>
    <row r="16" spans="1:10" x14ac:dyDescent="0.25">
      <c r="A16">
        <v>80</v>
      </c>
      <c r="B16" t="str">
        <f t="shared" si="0"/>
        <v>P</v>
      </c>
    </row>
    <row r="17" spans="1:2" x14ac:dyDescent="0.25">
      <c r="A17">
        <v>81</v>
      </c>
      <c r="B17" t="str">
        <f t="shared" si="0"/>
        <v>Q</v>
      </c>
    </row>
    <row r="18" spans="1:2" x14ac:dyDescent="0.25">
      <c r="A18">
        <v>82</v>
      </c>
      <c r="B18" t="str">
        <f t="shared" si="0"/>
        <v>R</v>
      </c>
    </row>
    <row r="19" spans="1:2" x14ac:dyDescent="0.25">
      <c r="A19">
        <v>83</v>
      </c>
      <c r="B19" t="str">
        <f t="shared" si="0"/>
        <v>S</v>
      </c>
    </row>
    <row r="20" spans="1:2" x14ac:dyDescent="0.25">
      <c r="A20">
        <v>84</v>
      </c>
      <c r="B20" t="str">
        <f t="shared" si="0"/>
        <v>T</v>
      </c>
    </row>
    <row r="21" spans="1:2" x14ac:dyDescent="0.25">
      <c r="A21">
        <v>85</v>
      </c>
      <c r="B21" t="str">
        <f t="shared" si="0"/>
        <v>U</v>
      </c>
    </row>
    <row r="22" spans="1:2" x14ac:dyDescent="0.25">
      <c r="A22">
        <v>86</v>
      </c>
      <c r="B22" t="str">
        <f t="shared" si="0"/>
        <v>V</v>
      </c>
    </row>
    <row r="23" spans="1:2" x14ac:dyDescent="0.25">
      <c r="A23">
        <v>87</v>
      </c>
      <c r="B23" t="str">
        <f t="shared" si="0"/>
        <v>W</v>
      </c>
    </row>
    <row r="24" spans="1:2" x14ac:dyDescent="0.25">
      <c r="A24">
        <v>88</v>
      </c>
      <c r="B24" t="str">
        <f t="shared" si="0"/>
        <v>X</v>
      </c>
    </row>
    <row r="25" spans="1:2" x14ac:dyDescent="0.25">
      <c r="A25">
        <v>89</v>
      </c>
      <c r="B25" t="str">
        <f t="shared" si="0"/>
        <v>Y</v>
      </c>
    </row>
    <row r="26" spans="1:2" x14ac:dyDescent="0.25">
      <c r="A26">
        <v>90</v>
      </c>
      <c r="B26" t="str">
        <f t="shared" si="0"/>
        <v>Z</v>
      </c>
    </row>
    <row r="27" spans="1:2" x14ac:dyDescent="0.25">
      <c r="A27">
        <v>91</v>
      </c>
      <c r="B27" t="str">
        <f t="shared" si="0"/>
        <v>[</v>
      </c>
    </row>
    <row r="28" spans="1:2" x14ac:dyDescent="0.25">
      <c r="A28">
        <v>92</v>
      </c>
      <c r="B28" t="str">
        <f t="shared" si="0"/>
        <v>\</v>
      </c>
    </row>
    <row r="29" spans="1:2" x14ac:dyDescent="0.25">
      <c r="A29">
        <v>93</v>
      </c>
      <c r="B29" t="str">
        <f t="shared" si="0"/>
        <v>]</v>
      </c>
    </row>
    <row r="30" spans="1:2" x14ac:dyDescent="0.25">
      <c r="A30">
        <v>94</v>
      </c>
      <c r="B30" t="str">
        <f t="shared" si="0"/>
        <v>^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"/>
  <sheetViews>
    <sheetView workbookViewId="0">
      <selection activeCell="L4" sqref="L4"/>
    </sheetView>
  </sheetViews>
  <sheetFormatPr defaultRowHeight="15" x14ac:dyDescent="0.25"/>
  <sheetData>
    <row r="1" spans="2:14" x14ac:dyDescent="0.25">
      <c r="C1" t="s">
        <v>3</v>
      </c>
      <c r="E1" t="s">
        <v>3</v>
      </c>
      <c r="I1" t="s">
        <v>3</v>
      </c>
    </row>
    <row r="2" spans="2:14" x14ac:dyDescent="0.25">
      <c r="B2">
        <v>19</v>
      </c>
      <c r="C2" t="str">
        <f>DEC2HEX(B2)</f>
        <v>13</v>
      </c>
      <c r="D2">
        <v>12</v>
      </c>
      <c r="E2" t="str">
        <f>DEC2HEX(D2)</f>
        <v>C</v>
      </c>
      <c r="F2" t="str">
        <f>DEC2HEX(D2*B2)</f>
        <v>E4</v>
      </c>
      <c r="G2" t="s">
        <v>0</v>
      </c>
      <c r="H2">
        <f>B2*HEX2DEC(F2)</f>
        <v>4332</v>
      </c>
      <c r="I2" t="str">
        <f>DEC2HEX(H2)</f>
        <v>10EC</v>
      </c>
      <c r="J2">
        <v>140</v>
      </c>
      <c r="K2">
        <f>HEX2DEC(C2)*HEX2DEC(J2)</f>
        <v>6080</v>
      </c>
      <c r="L2" t="str">
        <f>DEC2HEX(K2)</f>
        <v>17C0</v>
      </c>
      <c r="M2">
        <f>HEX2DEC(G2)+HEX2DEC(F2)+2*HEX2DEC(L2)</f>
        <v>706834</v>
      </c>
      <c r="N2" t="str">
        <f>DEC2HEX(M2)</f>
        <v>AC912</v>
      </c>
    </row>
    <row r="3" spans="2:14" x14ac:dyDescent="0.25">
      <c r="B3">
        <v>18</v>
      </c>
      <c r="C3" t="str">
        <f>DEC2HEX(B3)</f>
        <v>12</v>
      </c>
      <c r="D3">
        <v>12</v>
      </c>
      <c r="E3" t="str">
        <f>DEC2HEX(D3)</f>
        <v>C</v>
      </c>
      <c r="F3" t="str">
        <f>DEC2HEX(D3*B3)</f>
        <v>D8</v>
      </c>
      <c r="G3" t="s">
        <v>0</v>
      </c>
      <c r="H3">
        <f t="shared" ref="H3:H5" si="0">B3*HEX2DEC(F3)</f>
        <v>3888</v>
      </c>
      <c r="I3" t="str">
        <f t="shared" ref="I3:I5" si="1">DEC2HEX(H3)</f>
        <v>F30</v>
      </c>
      <c r="J3">
        <v>140</v>
      </c>
      <c r="K3">
        <f>HEX2DEC(C3)*HEX2DEC(J3)</f>
        <v>5760</v>
      </c>
      <c r="L3" t="str">
        <f>DEC2HEX(K3)</f>
        <v>1680</v>
      </c>
      <c r="M3">
        <f>HEX2DEC(G3)+HEX2DEC(F3)+2*HEX2DEC(L3)</f>
        <v>706182</v>
      </c>
      <c r="N3" t="str">
        <f>DEC2HEX(M3)</f>
        <v>AC686</v>
      </c>
    </row>
    <row r="4" spans="2:14" x14ac:dyDescent="0.25">
      <c r="B4">
        <v>16</v>
      </c>
      <c r="C4" t="str">
        <f>DEC2HEX(B4)</f>
        <v>10</v>
      </c>
      <c r="D4">
        <v>14</v>
      </c>
      <c r="E4" t="str">
        <f>DEC2HEX(D4)</f>
        <v>E</v>
      </c>
      <c r="F4" t="str">
        <f>DEC2HEX(D4*B4)</f>
        <v>E0</v>
      </c>
      <c r="G4" t="s">
        <v>0</v>
      </c>
      <c r="H4">
        <f t="shared" si="0"/>
        <v>3584</v>
      </c>
      <c r="I4" t="str">
        <f t="shared" si="1"/>
        <v>E00</v>
      </c>
      <c r="J4">
        <v>140</v>
      </c>
      <c r="K4">
        <f>HEX2DEC(C4)*HEX2DEC(J4)</f>
        <v>5120</v>
      </c>
      <c r="L4" t="str">
        <f>DEC2HEX(K4)</f>
        <v>1400</v>
      </c>
      <c r="M4">
        <f>HEX2DEC(G4)+HEX2DEC(F4)+2*HEX2DEC(L4)</f>
        <v>704910</v>
      </c>
      <c r="N4" t="str">
        <f>DEC2HEX(M4)</f>
        <v>AC18E</v>
      </c>
    </row>
    <row r="5" spans="2:14" x14ac:dyDescent="0.25">
      <c r="B5">
        <v>16</v>
      </c>
      <c r="C5" t="str">
        <f>DEC2HEX(B5)</f>
        <v>10</v>
      </c>
      <c r="D5">
        <v>12</v>
      </c>
      <c r="E5" t="str">
        <f>DEC2HEX(D5)</f>
        <v>C</v>
      </c>
      <c r="F5" t="str">
        <f>DEC2HEX(D5*B5)</f>
        <v>C0</v>
      </c>
      <c r="G5" t="s">
        <v>0</v>
      </c>
      <c r="H5">
        <f t="shared" si="0"/>
        <v>3072</v>
      </c>
      <c r="I5" t="str">
        <f t="shared" si="1"/>
        <v>C00</v>
      </c>
      <c r="J5">
        <v>140</v>
      </c>
      <c r="K5">
        <f>HEX2DEC(C5)*HEX2DEC(J5)</f>
        <v>5120</v>
      </c>
      <c r="L5" t="str">
        <f>DEC2HEX(K5)</f>
        <v>1400</v>
      </c>
      <c r="M5">
        <f>HEX2DEC(G5)+HEX2DEC(F5)+2*HEX2DEC(L5)</f>
        <v>704878</v>
      </c>
      <c r="N5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A27" activeCellId="2" sqref="A1 A14 A27"/>
    </sheetView>
  </sheetViews>
  <sheetFormatPr defaultRowHeight="15" x14ac:dyDescent="0.25"/>
  <cols>
    <col min="4" max="4" width="13.85546875" bestFit="1" customWidth="1"/>
  </cols>
  <sheetData>
    <row r="1" spans="1:5" x14ac:dyDescent="0.25">
      <c r="A1" t="s">
        <v>0</v>
      </c>
    </row>
    <row r="2" spans="1:5" x14ac:dyDescent="0.25">
      <c r="A2" t="s">
        <v>5</v>
      </c>
      <c r="B2">
        <f>+HEX2DEC(A2)-HEX2DEC(A1)</f>
        <v>19</v>
      </c>
      <c r="E2" t="s">
        <v>4</v>
      </c>
    </row>
    <row r="3" spans="1:5" x14ac:dyDescent="0.25">
      <c r="A3" t="s">
        <v>6</v>
      </c>
      <c r="B3">
        <f t="shared" ref="B3:B39" si="0">+HEX2DEC(A3)-HEX2DEC(A2)</f>
        <v>19</v>
      </c>
    </row>
    <row r="4" spans="1:5" x14ac:dyDescent="0.25">
      <c r="A4" t="s">
        <v>7</v>
      </c>
      <c r="B4">
        <f t="shared" si="0"/>
        <v>19</v>
      </c>
    </row>
    <row r="5" spans="1:5" x14ac:dyDescent="0.25">
      <c r="A5" t="s">
        <v>8</v>
      </c>
      <c r="B5">
        <f t="shared" si="0"/>
        <v>19</v>
      </c>
    </row>
    <row r="6" spans="1:5" x14ac:dyDescent="0.25">
      <c r="A6" t="s">
        <v>9</v>
      </c>
      <c r="B6">
        <f t="shared" si="0"/>
        <v>19</v>
      </c>
    </row>
    <row r="7" spans="1:5" x14ac:dyDescent="0.25">
      <c r="A7" t="s">
        <v>10</v>
      </c>
      <c r="B7">
        <f t="shared" si="0"/>
        <v>19</v>
      </c>
    </row>
    <row r="8" spans="1:5" x14ac:dyDescent="0.25">
      <c r="A8" t="s">
        <v>11</v>
      </c>
      <c r="B8">
        <f t="shared" si="0"/>
        <v>19</v>
      </c>
    </row>
    <row r="9" spans="1:5" x14ac:dyDescent="0.25">
      <c r="A9" t="s">
        <v>12</v>
      </c>
      <c r="B9">
        <f t="shared" si="0"/>
        <v>19</v>
      </c>
    </row>
    <row r="10" spans="1:5" x14ac:dyDescent="0.25">
      <c r="A10" t="s">
        <v>13</v>
      </c>
      <c r="B10">
        <f t="shared" si="0"/>
        <v>19</v>
      </c>
    </row>
    <row r="11" spans="1:5" x14ac:dyDescent="0.25">
      <c r="A11" t="s">
        <v>14</v>
      </c>
      <c r="B11">
        <f t="shared" si="0"/>
        <v>19</v>
      </c>
    </row>
    <row r="12" spans="1:5" x14ac:dyDescent="0.25">
      <c r="A12" t="s">
        <v>15</v>
      </c>
      <c r="B12">
        <f t="shared" si="0"/>
        <v>19</v>
      </c>
    </row>
    <row r="13" spans="1:5" x14ac:dyDescent="0.25">
      <c r="A13" t="s">
        <v>16</v>
      </c>
      <c r="B13">
        <f t="shared" si="0"/>
        <v>19</v>
      </c>
    </row>
    <row r="14" spans="1:5" x14ac:dyDescent="0.25">
      <c r="A14" t="s">
        <v>17</v>
      </c>
      <c r="B14">
        <f t="shared" si="0"/>
        <v>5852</v>
      </c>
      <c r="D14" t="s">
        <v>42</v>
      </c>
    </row>
    <row r="15" spans="1:5" x14ac:dyDescent="0.25">
      <c r="A15" t="s">
        <v>18</v>
      </c>
      <c r="B15">
        <f t="shared" si="0"/>
        <v>19</v>
      </c>
    </row>
    <row r="16" spans="1:5" x14ac:dyDescent="0.25">
      <c r="A16" t="s">
        <v>19</v>
      </c>
      <c r="B16">
        <f t="shared" si="0"/>
        <v>19</v>
      </c>
    </row>
    <row r="17" spans="1:4" x14ac:dyDescent="0.25">
      <c r="A17" t="s">
        <v>20</v>
      </c>
      <c r="B17">
        <f t="shared" si="0"/>
        <v>19</v>
      </c>
    </row>
    <row r="18" spans="1:4" x14ac:dyDescent="0.25">
      <c r="A18" t="s">
        <v>21</v>
      </c>
      <c r="B18">
        <f t="shared" si="0"/>
        <v>19</v>
      </c>
    </row>
    <row r="19" spans="1:4" x14ac:dyDescent="0.25">
      <c r="A19" t="s">
        <v>22</v>
      </c>
      <c r="B19">
        <f t="shared" si="0"/>
        <v>19</v>
      </c>
    </row>
    <row r="20" spans="1:4" x14ac:dyDescent="0.25">
      <c r="A20" t="s">
        <v>23</v>
      </c>
      <c r="B20">
        <f t="shared" si="0"/>
        <v>19</v>
      </c>
    </row>
    <row r="21" spans="1:4" x14ac:dyDescent="0.25">
      <c r="A21" t="s">
        <v>24</v>
      </c>
      <c r="B21">
        <f t="shared" si="0"/>
        <v>19</v>
      </c>
    </row>
    <row r="22" spans="1:4" x14ac:dyDescent="0.25">
      <c r="A22" t="s">
        <v>25</v>
      </c>
      <c r="B22">
        <f t="shared" si="0"/>
        <v>19</v>
      </c>
    </row>
    <row r="23" spans="1:4" x14ac:dyDescent="0.25">
      <c r="A23" t="s">
        <v>26</v>
      </c>
      <c r="B23">
        <f t="shared" si="0"/>
        <v>19</v>
      </c>
    </row>
    <row r="24" spans="1:4" x14ac:dyDescent="0.25">
      <c r="A24" t="s">
        <v>27</v>
      </c>
      <c r="B24">
        <f t="shared" si="0"/>
        <v>19</v>
      </c>
    </row>
    <row r="25" spans="1:4" x14ac:dyDescent="0.25">
      <c r="A25" t="s">
        <v>28</v>
      </c>
      <c r="B25">
        <f t="shared" si="0"/>
        <v>19</v>
      </c>
    </row>
    <row r="26" spans="1:4" x14ac:dyDescent="0.25">
      <c r="A26" t="s">
        <v>43</v>
      </c>
      <c r="B26">
        <f t="shared" si="0"/>
        <v>19</v>
      </c>
    </row>
    <row r="27" spans="1:4" x14ac:dyDescent="0.25">
      <c r="A27" t="s">
        <v>29</v>
      </c>
      <c r="B27">
        <f>+HEX2DEC(A27)-HEX2DEC(A25)</f>
        <v>5871</v>
      </c>
      <c r="D27" t="s">
        <v>44</v>
      </c>
    </row>
    <row r="28" spans="1:4" x14ac:dyDescent="0.25">
      <c r="A28" t="s">
        <v>30</v>
      </c>
      <c r="B28">
        <f t="shared" si="0"/>
        <v>19</v>
      </c>
    </row>
    <row r="29" spans="1:4" x14ac:dyDescent="0.25">
      <c r="A29" t="s">
        <v>31</v>
      </c>
      <c r="B29">
        <f t="shared" si="0"/>
        <v>19</v>
      </c>
    </row>
    <row r="30" spans="1:4" x14ac:dyDescent="0.25">
      <c r="A30" t="s">
        <v>32</v>
      </c>
      <c r="B30">
        <f t="shared" si="0"/>
        <v>19</v>
      </c>
    </row>
    <row r="31" spans="1:4" x14ac:dyDescent="0.25">
      <c r="A31" t="s">
        <v>33</v>
      </c>
      <c r="B31">
        <f t="shared" si="0"/>
        <v>19</v>
      </c>
    </row>
    <row r="32" spans="1:4" x14ac:dyDescent="0.25">
      <c r="A32" t="s">
        <v>34</v>
      </c>
      <c r="B32">
        <f t="shared" si="0"/>
        <v>19</v>
      </c>
    </row>
    <row r="33" spans="1:5" x14ac:dyDescent="0.25">
      <c r="A33" t="s">
        <v>35</v>
      </c>
      <c r="B33">
        <f t="shared" si="0"/>
        <v>19</v>
      </c>
    </row>
    <row r="34" spans="1:5" x14ac:dyDescent="0.25">
      <c r="A34" t="s">
        <v>36</v>
      </c>
      <c r="B34">
        <f>+HEX2DEC(A34)-HEX2DEC(A33)</f>
        <v>19</v>
      </c>
    </row>
    <row r="35" spans="1:5" x14ac:dyDescent="0.25">
      <c r="A35" t="s">
        <v>37</v>
      </c>
      <c r="B35">
        <f t="shared" si="0"/>
        <v>19</v>
      </c>
    </row>
    <row r="36" spans="1:5" x14ac:dyDescent="0.25">
      <c r="A36" t="s">
        <v>38</v>
      </c>
      <c r="B36">
        <f t="shared" si="0"/>
        <v>19</v>
      </c>
    </row>
    <row r="37" spans="1:5" x14ac:dyDescent="0.25">
      <c r="A37" t="s">
        <v>39</v>
      </c>
      <c r="B37">
        <f t="shared" si="0"/>
        <v>19</v>
      </c>
    </row>
    <row r="38" spans="1:5" x14ac:dyDescent="0.25">
      <c r="A38" t="s">
        <v>40</v>
      </c>
      <c r="B38">
        <f t="shared" si="0"/>
        <v>19</v>
      </c>
    </row>
    <row r="39" spans="1:5" x14ac:dyDescent="0.25">
      <c r="A39" t="s">
        <v>41</v>
      </c>
      <c r="B39">
        <f t="shared" si="0"/>
        <v>19</v>
      </c>
      <c r="E39" t="s">
        <v>56</v>
      </c>
    </row>
    <row r="40" spans="1:5" x14ac:dyDescent="0.25">
      <c r="A4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Dialog box engine adjustments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dcterms:created xsi:type="dcterms:W3CDTF">2026-08-28T21:03:46Z</dcterms:created>
  <dcterms:modified xsi:type="dcterms:W3CDTF">2026-08-30T16:53:34Z</dcterms:modified>
</cp:coreProperties>
</file>